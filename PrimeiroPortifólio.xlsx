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3649e05de2255f/Área de Trabalho/Curso Excel/"/>
    </mc:Choice>
  </mc:AlternateContent>
  <xr:revisionPtr revIDLastSave="0" documentId="8_{92C1AD78-1129-4BBE-A90C-BEB4B7D03C31}" xr6:coauthVersionLast="47" xr6:coauthVersionMax="47" xr10:uidLastSave="{00000000-0000-0000-0000-000000000000}"/>
  <bookViews>
    <workbookView xWindow="-120" yWindow="-120" windowWidth="29040" windowHeight="15720" tabRatio="376" activeTab="1" xr2:uid="{DD978D70-A9AC-49F0-A28A-A7FB39FD0428}"/>
  </bookViews>
  <sheets>
    <sheet name="Planilha1" sheetId="1" r:id="rId1"/>
    <sheet name="Planilha2" sheetId="2" r:id="rId2"/>
  </sheets>
  <definedNames>
    <definedName name="_xlchart.v1.0" hidden="1">Planilha1!$B$37</definedName>
    <definedName name="_xlchart.v1.1" hidden="1">Planilha1!$C$36</definedName>
    <definedName name="_xlchart.v1.2" hidden="1">Planilha1!$C$37</definedName>
    <definedName name="_xlchart.v2.3" hidden="1">Planilha1!$B$40:$B$45</definedName>
    <definedName name="_xlchart.v2.4" hidden="1">Planilha1!$C$40:$C$45</definedName>
    <definedName name="_xlchart.v2.5" hidden="1">Planilha1!$D$40:$D$45</definedName>
    <definedName name="_xlchart.v2.6" hidden="1">Planilha1!$B$40:$B$45</definedName>
    <definedName name="_xlchart.v2.7" hidden="1">Planilha1!$C$40:$C$45</definedName>
    <definedName name="_xlchart.v2.8" hidden="1">Planilha1!$D$40:$D$45</definedName>
    <definedName name="aporte">Planilha1!$C$23</definedName>
    <definedName name="patrimonio">Planilha1!$C$26</definedName>
    <definedName name="qtd_anos">Planilha1!$C$24</definedName>
    <definedName name="rendimento_carteira">Planilha1!$C$19</definedName>
    <definedName name="salário">Planilha1!$C$18</definedName>
    <definedName name="sugestão_de_investimento">Planilha1!$C$20</definedName>
    <definedName name="Taxa_mensal">Planilha1!$C$25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C41" i="1"/>
  <c r="D41" i="1" s="1"/>
  <c r="C20" i="1"/>
  <c r="C26" i="1"/>
  <c r="C27" i="1" s="1"/>
  <c r="C30" i="1"/>
  <c r="D30" i="1" s="1"/>
  <c r="C31" i="1"/>
  <c r="D31" i="1" s="1"/>
  <c r="C32" i="1"/>
  <c r="D32" i="1" s="1"/>
  <c r="C33" i="1"/>
  <c r="D33" i="1" s="1"/>
  <c r="C34" i="1"/>
  <c r="D34" i="1" s="1"/>
  <c r="H4" i="2" l="1"/>
  <c r="C40" i="1"/>
  <c r="D40" i="1" s="1"/>
  <c r="C45" i="1"/>
  <c r="D45" i="1" s="1"/>
  <c r="C44" i="1"/>
  <c r="D44" i="1" s="1"/>
  <c r="C43" i="1"/>
  <c r="D43" i="1" s="1"/>
  <c r="C42" i="1"/>
  <c r="D42" i="1" s="1"/>
  <c r="D46" i="1" l="1"/>
</calcChain>
</file>

<file path=xl/sharedStrings.xml><?xml version="1.0" encoding="utf-8"?>
<sst xmlns="http://schemas.openxmlformats.org/spreadsheetml/2006/main" count="71" uniqueCount="35">
  <si>
    <t>INVESTIMENTO MENSAL</t>
  </si>
  <si>
    <t>Por quantos anos?</t>
  </si>
  <si>
    <t>Taxa de renda mensal?</t>
  </si>
  <si>
    <t>Patrimônio adquirido?</t>
  </si>
  <si>
    <t>Dividendos mensais?</t>
  </si>
  <si>
    <t>Quantpo investir por mês?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</si>
  <si>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</si>
  <si>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</si>
  <si>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</si>
  <si>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</si>
  <si>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</si>
  <si>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</si>
  <si>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</si>
  <si>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Salário</t>
  </si>
  <si>
    <t>Rendimento carteira</t>
  </si>
  <si>
    <t>CONFICURAÇÕES</t>
  </si>
  <si>
    <t>Moderado</t>
  </si>
  <si>
    <t>VALOR A SER INVERSTIDO POR MÊS</t>
  </si>
  <si>
    <t>PERFIL</t>
  </si>
  <si>
    <t>TIPO DE FII</t>
  </si>
  <si>
    <t>Percentual Sugerido</t>
  </si>
  <si>
    <t>Valores</t>
  </si>
  <si>
    <t>TIJOLO</t>
  </si>
  <si>
    <t>PAPEL</t>
  </si>
  <si>
    <t>HÍBRIDOS</t>
  </si>
  <si>
    <t>FOFs</t>
  </si>
  <si>
    <t>DESENVOLVIMENTO</t>
  </si>
  <si>
    <t>HOTELARIAS</t>
  </si>
  <si>
    <t>TIPOS DE FII</t>
  </si>
  <si>
    <t>%</t>
  </si>
  <si>
    <t>Agressivo</t>
  </si>
  <si>
    <t>CHAVE</t>
  </si>
  <si>
    <t>Moderado-TIJOLO</t>
  </si>
  <si>
    <t>Sugestão de investimento (30%)</t>
  </si>
  <si>
    <t>Conservador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</si>
</sst>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7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i/>
      <sz val="11"/>
      <color theme="9" tint="-0.499984740745262"/>
      <name val="Calibri"/>
      <family val="2"/>
    </font>
    <font>
      <b/>
      <sz val="2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medium">
        <color auto="1"/>
      </top>
      <bottom/>
      <diagonal/>
    </border>
    <border>
      <left style="thick">
        <color theme="9" tint="0.79998168889431442"/>
      </left>
      <right style="thick">
        <color theme="9" tint="0.79998168889431442"/>
      </right>
      <top style="thick">
        <color theme="9" tint="0.79998168889431442"/>
      </top>
      <bottom style="thick">
        <color theme="9" tint="0.79998168889431442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/>
      <diagonal/>
    </border>
    <border>
      <left style="thick">
        <color theme="9" tint="0.79998168889431442"/>
      </left>
      <right style="thick">
        <color theme="9" tint="0.79998168889431442"/>
      </right>
      <top style="thick">
        <color theme="9" tint="0.79998168889431442"/>
      </top>
      <bottom/>
      <diagonal/>
    </border>
    <border>
      <left style="thin">
        <color theme="9" tint="0.79998168889431442"/>
      </left>
      <right style="thin">
        <color theme="0" tint="-0.14996795556505021"/>
      </right>
      <top style="thin">
        <color theme="9" tint="0.7999816888943144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9" tint="0.79998168889431442"/>
      </right>
      <top style="thin">
        <color theme="9" tint="0.79998168889431442"/>
      </top>
      <bottom style="thin">
        <color theme="0" tint="-0.14996795556505021"/>
      </bottom>
      <diagonal/>
    </border>
    <border>
      <left style="thin">
        <color theme="9" tint="0.7999816888943144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9" tint="0.7999816888943144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9" tint="0.79998168889431442"/>
      </left>
      <right style="thin">
        <color theme="0" tint="-0.14996795556505021"/>
      </right>
      <top style="thin">
        <color theme="0" tint="-0.14996795556505021"/>
      </top>
      <bottom style="thin">
        <color theme="9" tint="0.79998168889431442"/>
      </bottom>
      <diagonal/>
    </border>
    <border>
      <left style="thin">
        <color theme="0" tint="-0.14996795556505021"/>
      </left>
      <right style="thin">
        <color theme="9" tint="0.79998168889431442"/>
      </right>
      <top style="thin">
        <color theme="0" tint="-0.14996795556505021"/>
      </top>
      <bottom style="thin">
        <color theme="9" tint="0.7999816888943144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9" tint="0.7999816888943144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9" tint="0.79998168889431442"/>
      </bottom>
      <diagonal/>
    </border>
    <border>
      <left style="thin">
        <color theme="9" tint="0.79998168889431442"/>
      </left>
      <right/>
      <top style="thin">
        <color theme="9" tint="0.79998168889431442"/>
      </top>
      <bottom/>
      <diagonal/>
    </border>
    <border>
      <left/>
      <right style="thin">
        <color theme="9" tint="0.79998168889431442"/>
      </right>
      <top style="thin">
        <color theme="9" tint="0.79998168889431442"/>
      </top>
      <bottom/>
      <diagonal/>
    </border>
    <border>
      <left style="thin">
        <color theme="9" tint="0.79998168889431442"/>
      </left>
      <right/>
      <top/>
      <bottom/>
      <diagonal/>
    </border>
    <border>
      <left/>
      <right style="thin">
        <color theme="9" tint="0.79998168889431442"/>
      </right>
      <top/>
      <bottom/>
      <diagonal/>
    </border>
    <border>
      <left style="thin">
        <color theme="9" tint="0.79998168889431442"/>
      </left>
      <right/>
      <top/>
      <bottom style="thin">
        <color theme="9" tint="0.79998168889431442"/>
      </bottom>
      <diagonal/>
    </border>
    <border>
      <left/>
      <right style="thin">
        <color theme="9" tint="0.79998168889431442"/>
      </right>
      <top/>
      <bottom style="thin">
        <color theme="9" tint="0.7999816888943144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theme="0" tint="-4.9989318521683403E-2"/>
      </right>
      <top style="thin">
        <color rgb="FFFFC000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rgb="FFFFC000"/>
      </right>
      <top style="thin">
        <color rgb="FFFFC000"/>
      </top>
      <bottom style="thin">
        <color theme="0" tint="-4.9989318521683403E-2"/>
      </bottom>
      <diagonal/>
    </border>
    <border>
      <left style="thin">
        <color rgb="FFFFC000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rgb="FFFFC000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FFC000"/>
      </left>
      <right style="thin">
        <color theme="0" tint="-4.9989318521683403E-2"/>
      </right>
      <top style="thin">
        <color theme="0" tint="-4.9989318521683403E-2"/>
      </top>
      <bottom style="thin">
        <color rgb="FFFFC000"/>
      </bottom>
      <diagonal/>
    </border>
    <border>
      <left style="thin">
        <color theme="0" tint="-4.9989318521683403E-2"/>
      </left>
      <right style="thin">
        <color rgb="FFFFC000"/>
      </right>
      <top style="thin">
        <color theme="0" tint="-4.9989318521683403E-2"/>
      </top>
      <bottom style="thin">
        <color rgb="FFFFC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8">
    <xf numFmtId="0" fontId="0" fillId="0" borderId="0" xfId="0"/>
    <xf numFmtId="0" fontId="0" fillId="5" borderId="0" xfId="0" applyFill="1"/>
    <xf numFmtId="0" fontId="0" fillId="0" borderId="0" xfId="0" applyAlignment="1">
      <alignment horizontal="center"/>
    </xf>
    <xf numFmtId="0" fontId="4" fillId="0" borderId="0" xfId="0" applyFont="1" applyBorder="1"/>
    <xf numFmtId="0" fontId="3" fillId="0" borderId="0" xfId="0" applyFont="1"/>
    <xf numFmtId="9" fontId="0" fillId="0" borderId="0" xfId="0" applyNumberFormat="1"/>
    <xf numFmtId="167" fontId="0" fillId="7" borderId="1" xfId="0" applyNumberFormat="1" applyFill="1" applyBorder="1" applyAlignment="1">
      <alignment horizontal="center"/>
    </xf>
    <xf numFmtId="167" fontId="3" fillId="7" borderId="1" xfId="0" applyNumberFormat="1" applyFont="1" applyFill="1" applyBorder="1" applyAlignment="1">
      <alignment horizontal="center"/>
    </xf>
    <xf numFmtId="0" fontId="8" fillId="7" borderId="0" xfId="0" applyFont="1" applyFill="1"/>
    <xf numFmtId="0" fontId="0" fillId="7" borderId="0" xfId="0" applyFill="1"/>
    <xf numFmtId="9" fontId="0" fillId="0" borderId="0" xfId="0" applyNumberFormat="1" applyAlignment="1">
      <alignment horizontal="center"/>
    </xf>
    <xf numFmtId="167" fontId="0" fillId="7" borderId="0" xfId="0" applyNumberFormat="1" applyFill="1"/>
    <xf numFmtId="0" fontId="3" fillId="5" borderId="0" xfId="0" applyFont="1" applyFill="1" applyAlignment="1">
      <alignment horizontal="center"/>
    </xf>
    <xf numFmtId="0" fontId="3" fillId="5" borderId="0" xfId="0" applyFont="1" applyFill="1"/>
    <xf numFmtId="0" fontId="3" fillId="5" borderId="0" xfId="0" applyFont="1" applyFill="1" applyAlignment="1">
      <alignment horizontal="right"/>
    </xf>
    <xf numFmtId="167" fontId="0" fillId="5" borderId="0" xfId="0" applyNumberFormat="1" applyFill="1"/>
    <xf numFmtId="0" fontId="0" fillId="0" borderId="2" xfId="0" applyBorder="1"/>
    <xf numFmtId="0" fontId="0" fillId="0" borderId="2" xfId="0" applyFill="1" applyBorder="1"/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2" fillId="2" borderId="0" xfId="2"/>
    <xf numFmtId="9" fontId="2" fillId="2" borderId="0" xfId="1" applyFont="1" applyFill="1"/>
    <xf numFmtId="0" fontId="0" fillId="0" borderId="0" xfId="0" applyFont="1" applyFill="1" applyAlignment="1">
      <alignment horizontal="left"/>
    </xf>
    <xf numFmtId="167" fontId="0" fillId="7" borderId="0" xfId="0" applyNumberFormat="1" applyFill="1" applyAlignment="1">
      <alignment horizontal="center"/>
    </xf>
    <xf numFmtId="0" fontId="7" fillId="3" borderId="3" xfId="0" applyFont="1" applyFill="1" applyBorder="1"/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center" vertical="center"/>
    </xf>
    <xf numFmtId="0" fontId="3" fillId="7" borderId="8" xfId="0" applyFont="1" applyFill="1" applyBorder="1"/>
    <xf numFmtId="0" fontId="3" fillId="7" borderId="10" xfId="0" applyFont="1" applyFill="1" applyBorder="1"/>
    <xf numFmtId="0" fontId="0" fillId="7" borderId="6" xfId="0" applyFill="1" applyBorder="1"/>
    <xf numFmtId="167" fontId="0" fillId="7" borderId="12" xfId="0" applyNumberFormat="1" applyFill="1" applyBorder="1" applyAlignment="1">
      <alignment horizontal="center"/>
    </xf>
    <xf numFmtId="167" fontId="0" fillId="7" borderId="7" xfId="0" applyNumberFormat="1" applyFill="1" applyBorder="1"/>
    <xf numFmtId="0" fontId="0" fillId="7" borderId="8" xfId="0" applyFill="1" applyBorder="1"/>
    <xf numFmtId="167" fontId="0" fillId="7" borderId="9" xfId="0" applyNumberFormat="1" applyFill="1" applyBorder="1"/>
    <xf numFmtId="167" fontId="3" fillId="7" borderId="9" xfId="0" applyNumberFormat="1" applyFont="1" applyFill="1" applyBorder="1"/>
    <xf numFmtId="167" fontId="3" fillId="7" borderId="13" xfId="0" applyNumberFormat="1" applyFont="1" applyFill="1" applyBorder="1" applyAlignment="1">
      <alignment horizontal="center"/>
    </xf>
    <xf numFmtId="167" fontId="3" fillId="7" borderId="11" xfId="0" applyNumberFormat="1" applyFont="1" applyFill="1" applyBorder="1"/>
    <xf numFmtId="0" fontId="0" fillId="0" borderId="0" xfId="0" applyBorder="1"/>
    <xf numFmtId="0" fontId="0" fillId="4" borderId="14" xfId="0" applyFill="1" applyBorder="1"/>
    <xf numFmtId="167" fontId="0" fillId="4" borderId="15" xfId="0" applyNumberFormat="1" applyFill="1" applyBorder="1" applyAlignment="1">
      <alignment horizontal="center"/>
    </xf>
    <xf numFmtId="0" fontId="0" fillId="4" borderId="16" xfId="0" applyFill="1" applyBorder="1"/>
    <xf numFmtId="1" fontId="0" fillId="4" borderId="17" xfId="0" applyNumberFormat="1" applyFill="1" applyBorder="1" applyAlignment="1">
      <alignment horizontal="center"/>
    </xf>
    <xf numFmtId="10" fontId="0" fillId="4" borderId="17" xfId="0" applyNumberFormat="1" applyFill="1" applyBorder="1" applyAlignment="1">
      <alignment horizontal="center"/>
    </xf>
    <xf numFmtId="0" fontId="3" fillId="7" borderId="16" xfId="0" applyFont="1" applyFill="1" applyBorder="1"/>
    <xf numFmtId="8" fontId="3" fillId="7" borderId="17" xfId="0" applyNumberFormat="1" applyFont="1" applyFill="1" applyBorder="1" applyAlignment="1">
      <alignment horizontal="center"/>
    </xf>
    <xf numFmtId="0" fontId="3" fillId="7" borderId="18" xfId="0" applyFont="1" applyFill="1" applyBorder="1"/>
    <xf numFmtId="8" fontId="3" fillId="7" borderId="19" xfId="0" applyNumberFormat="1" applyFont="1" applyFill="1" applyBorder="1" applyAlignment="1">
      <alignment horizontal="center"/>
    </xf>
    <xf numFmtId="0" fontId="10" fillId="6" borderId="20" xfId="0" applyFont="1" applyFill="1" applyBorder="1" applyAlignment="1">
      <alignment horizontal="left"/>
    </xf>
    <xf numFmtId="0" fontId="0" fillId="7" borderId="21" xfId="0" applyFill="1" applyBorder="1"/>
    <xf numFmtId="167" fontId="0" fillId="0" borderId="22" xfId="0" applyNumberFormat="1" applyFill="1" applyBorder="1"/>
    <xf numFmtId="0" fontId="0" fillId="7" borderId="23" xfId="0" applyFill="1" applyBorder="1"/>
    <xf numFmtId="10" fontId="0" fillId="0" borderId="24" xfId="0" applyNumberFormat="1" applyBorder="1"/>
    <xf numFmtId="0" fontId="0" fillId="7" borderId="25" xfId="0" applyFill="1" applyBorder="1"/>
    <xf numFmtId="167" fontId="0" fillId="7" borderId="26" xfId="0" applyNumberFormat="1" applyFill="1" applyBorder="1"/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_xlchart.v2.4</cx:f>
      </cx:numDim>
    </cx:data>
    <cx:data id="1">
      <cx:strDim type="cat">
        <cx:f>_xlchart.v2.3</cx:f>
      </cx:strDim>
      <cx:numDim type="val">
        <cx:f>_xlchart.v2.5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funnel" uniqueId="{831E1C67-AC9A-4DE4-BB98-55969A32C701}" formatIdx="0">
          <cx:dataLabels>
            <cx:visibility seriesName="0" categoryName="0" value="1"/>
          </cx:dataLabels>
          <cx:dataId val="0"/>
        </cx:series>
        <cx:series layoutId="funnel" hidden="1" uniqueId="{3A2495A0-F964-4E1C-9BA9-AC2204925509}" formatIdx="1">
          <cx:dataLabels>
            <cx:visibility seriesName="0" categoryName="0" value="1"/>
          </cx:dataLabels>
          <cx:dataId val="1"/>
        </cx:series>
      </cx:plotAreaRegion>
      <cx:axis id="1">
        <cx:catScaling gapWidth="0.150000006"/>
        <cx:tickLabels/>
      </cx:axis>
    </cx:plotArea>
  </cx:chart>
  <cx:spPr>
    <a:noFill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45944</xdr:colOff>
      <xdr:row>2</xdr:row>
      <xdr:rowOff>19051</xdr:rowOff>
    </xdr:from>
    <xdr:to>
      <xdr:col>3</xdr:col>
      <xdr:colOff>331137</xdr:colOff>
      <xdr:row>14</xdr:row>
      <xdr:rowOff>135114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758012F2-C89E-A949-F971-FF5A87B962B5}"/>
            </a:ext>
          </a:extLst>
        </xdr:cNvPr>
        <xdr:cNvGrpSpPr/>
      </xdr:nvGrpSpPr>
      <xdr:grpSpPr>
        <a:xfrm>
          <a:off x="651062" y="400051"/>
          <a:ext cx="3960722" cy="2402063"/>
          <a:chOff x="0" y="208908"/>
          <a:chExt cx="3966885" cy="2402063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8DE2193B-DB30-85DD-2D79-01B1A23DF384}"/>
              </a:ext>
            </a:extLst>
          </xdr:cNvPr>
          <xdr:cNvGrpSpPr/>
        </xdr:nvGrpSpPr>
        <xdr:grpSpPr>
          <a:xfrm>
            <a:off x="0" y="208908"/>
            <a:ext cx="3966885" cy="1987445"/>
            <a:chOff x="0" y="52027"/>
            <a:chExt cx="6581855" cy="2843893"/>
          </a:xfrm>
          <a:gradFill>
            <a:gsLst>
              <a:gs pos="0">
                <a:schemeClr val="accent6">
                  <a:lumMod val="5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scene3d>
            <a:camera prst="perspectiveHeroicExtremeRightFacing"/>
            <a:lightRig rig="threePt" dir="t"/>
          </a:scene3d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95ECF017-FF0F-2CF6-D508-7D8AB99EE368}"/>
                </a:ext>
              </a:extLst>
            </xdr:cNvPr>
            <xdr:cNvSpPr/>
          </xdr:nvSpPr>
          <xdr:spPr>
            <a:xfrm>
              <a:off x="0" y="52027"/>
              <a:ext cx="6581855" cy="2843893"/>
            </a:xfrm>
            <a:prstGeom prst="roundRect">
              <a:avLst/>
            </a:prstGeom>
            <a:grpFill/>
            <a:ln>
              <a:solidFill>
                <a:schemeClr val="accent1"/>
              </a:solidFill>
            </a:ln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0" name="Elipse 9">
              <a:extLst>
                <a:ext uri="{FF2B5EF4-FFF2-40B4-BE49-F238E27FC236}">
                  <a16:creationId xmlns:a16="http://schemas.microsoft.com/office/drawing/2014/main" id="{4807CED5-C2BA-26B5-FDFB-24AF6C7FACCA}"/>
                </a:ext>
              </a:extLst>
            </xdr:cNvPr>
            <xdr:cNvSpPr/>
          </xdr:nvSpPr>
          <xdr:spPr>
            <a:xfrm>
              <a:off x="249736" y="156883"/>
              <a:ext cx="5913500" cy="2593362"/>
            </a:xfrm>
            <a:prstGeom prst="ellipse">
              <a:avLst/>
            </a:prstGeom>
            <a:grpFill/>
            <a:ln>
              <a:solidFill>
                <a:schemeClr val="accent1"/>
              </a:solidFill>
            </a:ln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000"/>
            </a:p>
          </xdr:txBody>
        </xdr:sp>
      </xdr:grpSp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236D7953-14D4-15B3-4984-D1BFBF6B9C5D}"/>
              </a:ext>
            </a:extLst>
          </xdr:cNvPr>
          <xdr:cNvSpPr txBox="1"/>
        </xdr:nvSpPr>
        <xdr:spPr>
          <a:xfrm rot="20610560">
            <a:off x="529804" y="770429"/>
            <a:ext cx="2895977" cy="505090"/>
          </a:xfrm>
          <a:prstGeom prst="rect">
            <a:avLst/>
          </a:prstGeom>
          <a:noFill/>
          <a:ln w="9525" cmpd="sng">
            <a:noFill/>
          </a:ln>
          <a:effectLst>
            <a:outerShdw blurRad="190500" dist="228600" dir="2700000" algn="ctr">
              <a:srgbClr val="000000">
                <a:alpha val="30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800">
                <a:ln w="12700">
                  <a:solidFill>
                    <a:schemeClr val="tx1"/>
                  </a:solidFill>
                </a:ln>
                <a:latin typeface="Segoe UI Black" panose="020B0A02040204020203" pitchFamily="34" charset="0"/>
                <a:ea typeface="Segoe UI Black" panose="020B0A02040204020203" pitchFamily="34" charset="0"/>
              </a:rPr>
              <a:t>INVEST</a:t>
            </a:r>
            <a:r>
              <a:rPr lang="pt-BR" sz="2800" baseline="0">
                <a:ln w="12700">
                  <a:solidFill>
                    <a:schemeClr val="tx1"/>
                  </a:solidFill>
                </a:ln>
                <a:latin typeface="Segoe UI Black" panose="020B0A02040204020203" pitchFamily="34" charset="0"/>
                <a:ea typeface="Segoe UI Black" panose="020B0A02040204020203" pitchFamily="34" charset="0"/>
              </a:rPr>
              <a:t> </a:t>
            </a:r>
            <a:r>
              <a:rPr lang="pt-BR" sz="2800" b="1" cap="none" spc="0" baseline="0">
                <a:ln w="12700">
                  <a:solidFill>
                    <a:schemeClr val="accent3">
                      <a:lumMod val="50000"/>
                    </a:schemeClr>
                  </a:solidFill>
                  <a:prstDash val="solid"/>
                </a:ln>
                <a:pattFill prst="narHorz">
                  <a:fgClr>
                    <a:schemeClr val="accent3"/>
                  </a:fgClr>
                  <a:bgClr>
                    <a:schemeClr val="accent3">
                      <a:lumMod val="40000"/>
                      <a:lumOff val="60000"/>
                    </a:schemeClr>
                  </a:bgClr>
                </a:pattFill>
                <a:effectLst>
                  <a:innerShdw blurRad="177800">
                    <a:schemeClr val="accent3">
                      <a:lumMod val="50000"/>
                    </a:schemeClr>
                  </a:inn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BUB</a:t>
            </a:r>
            <a:endParaRPr lang="pt-BR" sz="2800" baseline="0">
              <a:ln w="12700">
                <a:solidFill>
                  <a:schemeClr val="tx1"/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endParaRPr>
          </a:p>
          <a:p>
            <a:endParaRPr lang="pt-BR" sz="2800">
              <a:ln w="12700">
                <a:solidFill>
                  <a:schemeClr val="tx1"/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pic>
        <xdr:nvPicPr>
          <xdr:cNvPr id="17" name="Imagem 16" descr="Homem do atendimento ao cliente falando alegremente">
            <a:extLst>
              <a:ext uri="{FF2B5EF4-FFF2-40B4-BE49-F238E27FC236}">
                <a16:creationId xmlns:a16="http://schemas.microsoft.com/office/drawing/2014/main" id="{39A38B93-3B5B-2F89-D94F-D59FDAAC22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45443" y="280147"/>
            <a:ext cx="1208109" cy="2330824"/>
          </a:xfrm>
          <a:prstGeom prst="rect">
            <a:avLst/>
          </a:prstGeom>
        </xdr:spPr>
      </xdr:pic>
      <xdr:pic>
        <xdr:nvPicPr>
          <xdr:cNvPr id="24" name="Imagem 23">
            <a:extLst>
              <a:ext uri="{FF2B5EF4-FFF2-40B4-BE49-F238E27FC236}">
                <a16:creationId xmlns:a16="http://schemas.microsoft.com/office/drawing/2014/main" id="{24BBBA08-F5D6-5917-CBE6-D23FEC8C5D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1087110">
            <a:off x="1863116" y="481100"/>
            <a:ext cx="1575719" cy="157571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14287</xdr:colOff>
      <xdr:row>46</xdr:row>
      <xdr:rowOff>123825</xdr:rowOff>
    </xdr:from>
    <xdr:to>
      <xdr:col>4</xdr:col>
      <xdr:colOff>38100</xdr:colOff>
      <xdr:row>61</xdr:row>
      <xdr:rowOff>52387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5" name="Gráfico 34">
              <a:extLst>
                <a:ext uri="{FF2B5EF4-FFF2-40B4-BE49-F238E27FC236}">
                  <a16:creationId xmlns:a16="http://schemas.microsoft.com/office/drawing/2014/main" id="{CBACFC7E-CF7A-E591-5F4E-3A8223825B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3887" y="9372600"/>
              <a:ext cx="4481513" cy="27860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8B80C-AE05-435F-A14C-DF7DF434DCBB}">
  <dimension ref="A17:H76"/>
  <sheetViews>
    <sheetView showGridLines="0" showRowColHeaders="0" topLeftCell="A3" zoomScale="85" zoomScaleNormal="85" workbookViewId="0">
      <selection activeCell="F22" sqref="F22"/>
    </sheetView>
  </sheetViews>
  <sheetFormatPr defaultColWidth="0" defaultRowHeight="15" x14ac:dyDescent="0.25"/>
  <cols>
    <col min="1" max="1" width="9.140625" customWidth="1"/>
    <col min="2" max="2" width="36.28515625" bestFit="1" customWidth="1"/>
    <col min="3" max="3" width="18.85546875" bestFit="1" customWidth="1"/>
    <col min="4" max="4" width="11.7109375" bestFit="1" customWidth="1"/>
    <col min="5" max="5" width="5.85546875" customWidth="1"/>
    <col min="6" max="6" width="11.7109375" customWidth="1"/>
    <col min="7" max="8" width="9.140625" hidden="1" customWidth="1"/>
    <col min="9" max="16384" width="9.140625" hidden="1"/>
  </cols>
  <sheetData>
    <row r="17" spans="1:8" ht="26.25" x14ac:dyDescent="0.4">
      <c r="B17" s="51" t="s">
        <v>15</v>
      </c>
      <c r="C17" s="51"/>
    </row>
    <row r="18" spans="1:8" x14ac:dyDescent="0.25">
      <c r="B18" s="52" t="s">
        <v>13</v>
      </c>
      <c r="C18" s="53">
        <v>0</v>
      </c>
    </row>
    <row r="19" spans="1:8" x14ac:dyDescent="0.25">
      <c r="B19" s="54" t="s">
        <v>14</v>
      </c>
      <c r="C19" s="55">
        <v>6.0000000000000001E-3</v>
      </c>
    </row>
    <row r="20" spans="1:8" x14ac:dyDescent="0.25">
      <c r="B20" s="56" t="s">
        <v>33</v>
      </c>
      <c r="C20" s="57">
        <f>salário*30%</f>
        <v>0</v>
      </c>
    </row>
    <row r="22" spans="1:8" ht="24" x14ac:dyDescent="0.25">
      <c r="B22" s="27" t="s">
        <v>0</v>
      </c>
      <c r="C22" s="27"/>
    </row>
    <row r="23" spans="1:8" x14ac:dyDescent="0.25">
      <c r="B23" s="42" t="s">
        <v>5</v>
      </c>
      <c r="C23" s="43">
        <v>1260</v>
      </c>
      <c r="F23" s="41"/>
    </row>
    <row r="24" spans="1:8" x14ac:dyDescent="0.25">
      <c r="B24" s="44" t="s">
        <v>1</v>
      </c>
      <c r="C24" s="45">
        <v>5</v>
      </c>
      <c r="H24" s="5"/>
    </row>
    <row r="25" spans="1:8" x14ac:dyDescent="0.25">
      <c r="B25" s="44" t="s">
        <v>2</v>
      </c>
      <c r="C25" s="46">
        <v>1.0800000000000001E-2</v>
      </c>
    </row>
    <row r="26" spans="1:8" x14ac:dyDescent="0.25">
      <c r="B26" s="47" t="s">
        <v>3</v>
      </c>
      <c r="C26" s="48">
        <f>FV(Taxa_mensal,qtd_anos*12,aporte*-1)</f>
        <v>105593.06439266562</v>
      </c>
      <c r="E26" s="41"/>
    </row>
    <row r="27" spans="1:8" x14ac:dyDescent="0.25">
      <c r="B27" s="49" t="s">
        <v>4</v>
      </c>
      <c r="C27" s="50">
        <f>patrimonio*1%</f>
        <v>1055.9306439266561</v>
      </c>
    </row>
    <row r="28" spans="1:8" ht="15.75" thickBot="1" x14ac:dyDescent="0.3"/>
    <row r="29" spans="1:8" ht="24.75" thickTop="1" x14ac:dyDescent="0.25">
      <c r="B29" s="28" t="s">
        <v>11</v>
      </c>
      <c r="C29" s="29"/>
      <c r="D29" s="30" t="s">
        <v>12</v>
      </c>
    </row>
    <row r="30" spans="1:8" x14ac:dyDescent="0.25">
      <c r="A30" s="3">
        <v>2</v>
      </c>
      <c r="B30" s="33" t="s">
        <v>6</v>
      </c>
      <c r="C30" s="34">
        <f>FV($C$25,$A30*12,$C$23*-1)</f>
        <v>34310.888212332808</v>
      </c>
      <c r="D30" s="35">
        <f>C30*rendimento_carteira</f>
        <v>205.86532927399685</v>
      </c>
    </row>
    <row r="31" spans="1:8" x14ac:dyDescent="0.25">
      <c r="A31" s="3">
        <v>5</v>
      </c>
      <c r="B31" s="36" t="s">
        <v>7</v>
      </c>
      <c r="C31" s="6">
        <f>FV($C$25,$A31*12,$C$23*-1)</f>
        <v>105593.06439266562</v>
      </c>
      <c r="D31" s="37">
        <f>C31*rendimento_carteira</f>
        <v>633.55838635599378</v>
      </c>
    </row>
    <row r="32" spans="1:8" x14ac:dyDescent="0.25">
      <c r="A32" s="3">
        <v>10</v>
      </c>
      <c r="B32" s="36" t="s">
        <v>8</v>
      </c>
      <c r="C32" s="6">
        <f>FV($C$25,$A32*12,$C$23*-1)</f>
        <v>306756.65948104812</v>
      </c>
      <c r="D32" s="37">
        <f>C32*rendimento_carteira</f>
        <v>1840.5399568862888</v>
      </c>
    </row>
    <row r="33" spans="1:6" x14ac:dyDescent="0.25">
      <c r="A33" s="3">
        <v>20</v>
      </c>
      <c r="B33" s="31" t="s">
        <v>9</v>
      </c>
      <c r="C33" s="7">
        <f>FV($C$25,$A33*12,$C$23*-1)</f>
        <v>1420081.7315561394</v>
      </c>
      <c r="D33" s="38">
        <f>C33*rendimento_carteira</f>
        <v>8520.4903893368373</v>
      </c>
    </row>
    <row r="34" spans="1:6" x14ac:dyDescent="0.25">
      <c r="A34" s="3">
        <v>30</v>
      </c>
      <c r="B34" s="32" t="s">
        <v>10</v>
      </c>
      <c r="C34" s="39">
        <f>FV($C$25,$A34*12,$C$23*-1)</f>
        <v>5460720.0609991066</v>
      </c>
      <c r="D34" s="40">
        <f>C34*rendimento_carteira</f>
        <v>32764.320365994641</v>
      </c>
    </row>
    <row r="35" spans="1:6" ht="15.75" thickBot="1" x14ac:dyDescent="0.3"/>
    <row r="36" spans="1:6" ht="22.5" thickTop="1" thickBot="1" x14ac:dyDescent="0.4">
      <c r="B36" s="24" t="s">
        <v>18</v>
      </c>
      <c r="C36" s="25" t="s">
        <v>34</v>
      </c>
      <c r="D36" s="26"/>
    </row>
    <row r="37" spans="1:6" ht="15.75" thickTop="1" x14ac:dyDescent="0.25">
      <c r="B37" s="8" t="s">
        <v>17</v>
      </c>
      <c r="C37" s="23">
        <v>500</v>
      </c>
      <c r="D37" s="9"/>
    </row>
    <row r="39" spans="1:6" x14ac:dyDescent="0.25">
      <c r="B39" s="12" t="s">
        <v>19</v>
      </c>
      <c r="C39" s="13" t="s">
        <v>20</v>
      </c>
      <c r="D39" s="14" t="s">
        <v>21</v>
      </c>
      <c r="F39" s="4"/>
    </row>
    <row r="40" spans="1:6" x14ac:dyDescent="0.25">
      <c r="B40" s="2" t="s">
        <v>23</v>
      </c>
      <c r="C40" s="10">
        <f>VLOOKUP($C$36&amp;"-"&amp;B40,Planilha2!A:D,4,FALSE)</f>
        <v>0.3</v>
      </c>
      <c r="D40" s="11">
        <f>C40*$C$37</f>
        <v>150</v>
      </c>
    </row>
    <row r="41" spans="1:6" x14ac:dyDescent="0.25">
      <c r="B41" s="2" t="s">
        <v>22</v>
      </c>
      <c r="C41" s="10">
        <f>VLOOKUP($C$36&amp;"-"&amp;B41,Planilha2!A:D,4,FALSE)</f>
        <v>0.5</v>
      </c>
      <c r="D41" s="11">
        <f t="shared" ref="D41:D45" si="0">C41*$C$37</f>
        <v>250</v>
      </c>
    </row>
    <row r="42" spans="1:6" x14ac:dyDescent="0.25">
      <c r="B42" s="2" t="s">
        <v>24</v>
      </c>
      <c r="C42" s="10">
        <f>VLOOKUP($C$36&amp;"-"&amp;B42,Planilha2!A:D,4,FALSE)</f>
        <v>0.1</v>
      </c>
      <c r="D42" s="11">
        <f t="shared" si="0"/>
        <v>50</v>
      </c>
    </row>
    <row r="43" spans="1:6" x14ac:dyDescent="0.25">
      <c r="B43" s="2" t="s">
        <v>25</v>
      </c>
      <c r="C43" s="10">
        <f>VLOOKUP($C$36&amp;"-"&amp;B43,Planilha2!A:D,4,FALSE)</f>
        <v>0.1</v>
      </c>
      <c r="D43" s="11">
        <f t="shared" si="0"/>
        <v>50</v>
      </c>
    </row>
    <row r="44" spans="1:6" x14ac:dyDescent="0.25">
      <c r="B44" s="2" t="s">
        <v>26</v>
      </c>
      <c r="C44" s="10">
        <f>VLOOKUP($C$36&amp;"-"&amp;B44,Planilha2!A:D,4,FALSE)</f>
        <v>0</v>
      </c>
      <c r="D44" s="11">
        <f t="shared" si="0"/>
        <v>0</v>
      </c>
    </row>
    <row r="45" spans="1:6" x14ac:dyDescent="0.25">
      <c r="B45" s="2" t="s">
        <v>27</v>
      </c>
      <c r="C45" s="10">
        <f>VLOOKUP($C$36&amp;"-"&amp;B45,Planilha2!A:D,4,FALSE)</f>
        <v>0</v>
      </c>
      <c r="D45" s="11">
        <f t="shared" si="0"/>
        <v>0</v>
      </c>
    </row>
    <row r="46" spans="1:6" x14ac:dyDescent="0.25">
      <c r="B46" s="1"/>
      <c r="C46" s="1"/>
      <c r="D46" s="15">
        <f>SUM(D40:D45)</f>
        <v>500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</sheetData>
  <dataValidations count="1">
    <dataValidation type="list" allowBlank="1" showInputMessage="1" showErrorMessage="1" sqref="C36" xr:uid="{4CE0D140-C091-4D42-B34D-69D7002864A4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C0FB-BD0B-402E-92E3-C32241364C8E}">
  <dimension ref="A2:H20"/>
  <sheetViews>
    <sheetView tabSelected="1" workbookViewId="0">
      <selection activeCell="D15" sqref="D15:D20"/>
    </sheetView>
  </sheetViews>
  <sheetFormatPr defaultRowHeight="15" x14ac:dyDescent="0.25"/>
  <cols>
    <col min="1" max="1" width="31.7109375" bestFit="1" customWidth="1"/>
    <col min="2" max="2" width="13.140625" bestFit="1" customWidth="1"/>
    <col min="3" max="3" width="18.5703125" bestFit="1" customWidth="1"/>
    <col min="7" max="7" width="16.85546875" bestFit="1" customWidth="1"/>
  </cols>
  <sheetData>
    <row r="2" spans="1:8" x14ac:dyDescent="0.25">
      <c r="A2" t="s">
        <v>31</v>
      </c>
      <c r="B2" s="2" t="s">
        <v>18</v>
      </c>
      <c r="C2" s="2" t="s">
        <v>28</v>
      </c>
      <c r="D2" s="2" t="s">
        <v>29</v>
      </c>
    </row>
    <row r="3" spans="1:8" x14ac:dyDescent="0.25">
      <c r="A3" t="str">
        <f>B3&amp;"-"&amp;C3</f>
        <v>Conservador-PAPEL</v>
      </c>
      <c r="B3" s="22" t="s">
        <v>34</v>
      </c>
      <c r="C3" s="2" t="s">
        <v>23</v>
      </c>
      <c r="D3" s="10">
        <v>0.3</v>
      </c>
      <c r="H3" t="s">
        <v>29</v>
      </c>
    </row>
    <row r="4" spans="1:8" x14ac:dyDescent="0.25">
      <c r="A4" t="str">
        <f t="shared" ref="A4:A20" si="0">B4&amp;"-"&amp;C4</f>
        <v>Conservador-TIJOLO</v>
      </c>
      <c r="B4" s="22" t="s">
        <v>34</v>
      </c>
      <c r="C4" s="2" t="s">
        <v>22</v>
      </c>
      <c r="D4" s="10">
        <v>0.5</v>
      </c>
      <c r="G4" s="20" t="s">
        <v>32</v>
      </c>
      <c r="H4" s="21">
        <f>VLOOKUP(G4,$A:$D,4,FALSE)</f>
        <v>0.35</v>
      </c>
    </row>
    <row r="5" spans="1:8" x14ac:dyDescent="0.25">
      <c r="A5" t="str">
        <f t="shared" si="0"/>
        <v>Conservador-HÍBRIDOS</v>
      </c>
      <c r="B5" s="22" t="s">
        <v>34</v>
      </c>
      <c r="C5" s="2" t="s">
        <v>24</v>
      </c>
      <c r="D5" s="10">
        <v>0.1</v>
      </c>
    </row>
    <row r="6" spans="1:8" x14ac:dyDescent="0.25">
      <c r="A6" t="str">
        <f t="shared" si="0"/>
        <v>Conservador-FOFs</v>
      </c>
      <c r="B6" s="22" t="s">
        <v>34</v>
      </c>
      <c r="C6" s="2" t="s">
        <v>25</v>
      </c>
      <c r="D6" s="10">
        <v>0.1</v>
      </c>
    </row>
    <row r="7" spans="1:8" x14ac:dyDescent="0.25">
      <c r="A7" t="str">
        <f t="shared" si="0"/>
        <v>Conservador-DESENVOLVIMENTO</v>
      </c>
      <c r="B7" s="22" t="s">
        <v>34</v>
      </c>
      <c r="C7" s="2" t="s">
        <v>26</v>
      </c>
      <c r="D7" s="10">
        <v>0</v>
      </c>
    </row>
    <row r="8" spans="1:8" ht="15.75" thickBot="1" x14ac:dyDescent="0.3">
      <c r="A8" t="str">
        <f t="shared" si="0"/>
        <v>Conservador-HOTELARIAS</v>
      </c>
      <c r="B8" s="22" t="s">
        <v>34</v>
      </c>
      <c r="C8" s="2" t="s">
        <v>27</v>
      </c>
      <c r="D8" s="10">
        <v>0</v>
      </c>
    </row>
    <row r="9" spans="1:8" x14ac:dyDescent="0.25">
      <c r="A9" t="str">
        <f t="shared" si="0"/>
        <v>Moderado-PAPEL</v>
      </c>
      <c r="B9" s="17" t="s">
        <v>16</v>
      </c>
      <c r="C9" s="18" t="s">
        <v>23</v>
      </c>
      <c r="D9" s="19">
        <v>0.32</v>
      </c>
    </row>
    <row r="10" spans="1:8" x14ac:dyDescent="0.25">
      <c r="A10" t="str">
        <f t="shared" si="0"/>
        <v>Moderado-TIJOLO</v>
      </c>
      <c r="B10" t="s">
        <v>16</v>
      </c>
      <c r="C10" s="2" t="s">
        <v>22</v>
      </c>
      <c r="D10" s="10">
        <v>0.35</v>
      </c>
    </row>
    <row r="11" spans="1:8" x14ac:dyDescent="0.25">
      <c r="A11" t="str">
        <f t="shared" si="0"/>
        <v>Moderado-HÍBRIDOS</v>
      </c>
      <c r="B11" t="s">
        <v>16</v>
      </c>
      <c r="C11" s="2" t="s">
        <v>24</v>
      </c>
      <c r="D11" s="10">
        <v>0.08</v>
      </c>
    </row>
    <row r="12" spans="1:8" x14ac:dyDescent="0.25">
      <c r="A12" t="str">
        <f t="shared" si="0"/>
        <v>Moderado-FOFs</v>
      </c>
      <c r="B12" t="s">
        <v>16</v>
      </c>
      <c r="C12" s="2" t="s">
        <v>25</v>
      </c>
      <c r="D12" s="10">
        <v>0.05</v>
      </c>
    </row>
    <row r="13" spans="1:8" x14ac:dyDescent="0.25">
      <c r="A13" t="str">
        <f t="shared" si="0"/>
        <v>Moderado-DESENVOLVIMENTO</v>
      </c>
      <c r="B13" t="s">
        <v>16</v>
      </c>
      <c r="C13" s="2" t="s">
        <v>26</v>
      </c>
      <c r="D13" s="10">
        <v>0.1</v>
      </c>
    </row>
    <row r="14" spans="1:8" ht="15.75" thickBot="1" x14ac:dyDescent="0.3">
      <c r="A14" t="str">
        <f t="shared" si="0"/>
        <v>Moderado-HOTELARIAS</v>
      </c>
      <c r="B14" t="s">
        <v>16</v>
      </c>
      <c r="C14" s="2" t="s">
        <v>27</v>
      </c>
      <c r="D14" s="10">
        <v>0.1</v>
      </c>
    </row>
    <row r="15" spans="1:8" x14ac:dyDescent="0.25">
      <c r="A15" t="str">
        <f t="shared" si="0"/>
        <v>Agressivo-PAPEL</v>
      </c>
      <c r="B15" s="16" t="s">
        <v>30</v>
      </c>
      <c r="C15" s="18" t="s">
        <v>23</v>
      </c>
      <c r="D15" s="19">
        <v>0.5</v>
      </c>
    </row>
    <row r="16" spans="1:8" x14ac:dyDescent="0.25">
      <c r="A16" t="str">
        <f t="shared" si="0"/>
        <v>Agressivo-TIJOLO</v>
      </c>
      <c r="B16" t="s">
        <v>30</v>
      </c>
      <c r="C16" s="2" t="s">
        <v>22</v>
      </c>
      <c r="D16" s="10">
        <v>0.1</v>
      </c>
    </row>
    <row r="17" spans="1:4" x14ac:dyDescent="0.25">
      <c r="A17" t="str">
        <f t="shared" si="0"/>
        <v>Agressivo-HÍBRIDOS</v>
      </c>
      <c r="B17" t="s">
        <v>30</v>
      </c>
      <c r="C17" s="2" t="s">
        <v>24</v>
      </c>
      <c r="D17" s="10">
        <v>0.05</v>
      </c>
    </row>
    <row r="18" spans="1:4" x14ac:dyDescent="0.25">
      <c r="A18" t="str">
        <f t="shared" si="0"/>
        <v>Agressivo-FOFs</v>
      </c>
      <c r="B18" t="s">
        <v>30</v>
      </c>
      <c r="C18" s="2" t="s">
        <v>25</v>
      </c>
      <c r="D18" s="10">
        <v>0.05</v>
      </c>
    </row>
    <row r="19" spans="1:4" x14ac:dyDescent="0.25">
      <c r="A19" t="str">
        <f t="shared" si="0"/>
        <v>Agressivo-DESENVOLVIMENTO</v>
      </c>
      <c r="B19" t="s">
        <v>30</v>
      </c>
      <c r="C19" s="2" t="s">
        <v>26</v>
      </c>
      <c r="D19" s="10">
        <v>0.2</v>
      </c>
    </row>
    <row r="20" spans="1:4" x14ac:dyDescent="0.25">
      <c r="A20" t="str">
        <f t="shared" si="0"/>
        <v>Agressivo-HOTELARIAS</v>
      </c>
      <c r="B20" t="s">
        <v>30</v>
      </c>
      <c r="C20" s="2" t="s">
        <v>27</v>
      </c>
      <c r="D20" s="10">
        <v>0.1</v>
      </c>
    </row>
  </sheetData>
  <dataValidations count="1">
    <dataValidation type="list" allowBlank="1" showInputMessage="1" showErrorMessage="1" sqref="B3:B8" xr:uid="{6E65BCF6-F972-42DB-954C-736D2CE4FD39}">
      <formula1>"Conservador,Moderado,Agressivo"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salário</vt:lpstr>
      <vt:lpstr>sugestão_de_investimento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Pires Reis</dc:creator>
  <cp:lastModifiedBy>Bruno Pires Reis</cp:lastModifiedBy>
  <dcterms:created xsi:type="dcterms:W3CDTF">2026-09-24T13:09:55Z</dcterms:created>
  <dcterms:modified xsi:type="dcterms:W3CDTF">2026-10-02T12:20:37Z</dcterms:modified>
</cp:coreProperties>
</file>